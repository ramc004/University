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cr00989_surrey_ac_uk/Documents/Desktop/Year 3 Project/Forms/docx/Blanks/"/>
    </mc:Choice>
  </mc:AlternateContent>
  <xr:revisionPtr revIDLastSave="21" documentId="8_{B7F215F5-74CA-0A41-AEFB-4729C5A85777}" xr6:coauthVersionLast="47" xr6:coauthVersionMax="47" xr10:uidLastSave="{EC30898E-E8FF-414F-A79D-68FA75A20F59}"/>
  <bookViews>
    <workbookView xWindow="4420" yWindow="680" windowWidth="25820" windowHeight="18960" xr2:uid="{6C3E9290-76EA-4DDB-AFFA-BCF6AFBAAA3B}"/>
  </bookViews>
  <sheets>
    <sheet name="PR-001 form" sheetId="5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5" l="1"/>
  <c r="M19" i="5"/>
  <c r="M20" i="5"/>
  <c r="M21" i="5"/>
  <c r="M22" i="5"/>
  <c r="M23" i="5"/>
  <c r="M24" i="5"/>
  <c r="M25" i="5"/>
  <c r="M26" i="5"/>
  <c r="M27" i="5"/>
  <c r="M28" i="5"/>
  <c r="M31" i="5"/>
  <c r="M3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profile_admin</author>
  </authors>
  <commentList>
    <comment ref="F15" authorId="0" shapeId="0" xr:uid="{551C482E-627C-49D0-90D8-CF2F416BDD83}">
      <text>
        <r>
          <rPr>
            <sz val="8"/>
            <color indexed="81"/>
            <rFont val="Tahoma"/>
            <family val="2"/>
          </rPr>
          <t xml:space="preserve">If you are buying equipment costing more than £500 give the location where it will be kept in Special instructions above.
</t>
        </r>
      </text>
    </comment>
    <comment ref="G15" authorId="0" shapeId="0" xr:uid="{F0E759D4-ADFB-4069-960F-E7D92AEF3FAE}">
      <text>
        <r>
          <rPr>
            <sz val="8"/>
            <color indexed="81"/>
            <rFont val="Tahoma"/>
            <family val="2"/>
          </rPr>
          <t xml:space="preserve">COSSH refers to the Control of Substances Hazardous to Health Regulations 1999.  If you buy anything which may fall into this category you should do a COSHH assessment and complete a COSHH form.
</t>
        </r>
      </text>
    </comment>
    <comment ref="H15" authorId="0" shapeId="0" xr:uid="{092299B1-8A6B-4955-8835-B5AAA88F8F6C}">
      <text>
        <r>
          <rPr>
            <sz val="8"/>
            <color indexed="81"/>
            <rFont val="Tahoma"/>
            <family val="2"/>
          </rPr>
          <t>For example:
each
box
hour
pack
roll
kg</t>
        </r>
      </text>
    </comment>
    <comment ref="K15" authorId="0" shapeId="0" xr:uid="{587AB140-9A49-433D-B114-3C94A7C3F966}">
      <text>
        <r>
          <rPr>
            <sz val="8"/>
            <color indexed="81"/>
            <rFont val="Tahoma"/>
            <family val="2"/>
          </rPr>
          <t>number of units to order
for example 3 (if you want 300 and they come in boxes of 100)</t>
        </r>
      </text>
    </comment>
    <comment ref="L15" authorId="0" shapeId="0" xr:uid="{DE3F6D6D-5B75-408D-80F4-4082978FC667}">
      <text>
        <r>
          <rPr>
            <sz val="8"/>
            <color indexed="81"/>
            <rFont val="Tahoma"/>
            <family val="2"/>
          </rPr>
          <t xml:space="preserve">Check that the price you put in here is without VAT
</t>
        </r>
      </text>
    </comment>
    <comment ref="J30" authorId="0" shapeId="0" xr:uid="{54C0B5E9-56B8-4B2B-9548-20D2496AA1C9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31" authorId="0" shapeId="0" xr:uid="{023379AE-96D1-44C3-92E4-7C77A85AFCB9}">
      <text>
        <r>
          <rPr>
            <sz val="8"/>
            <color indexed="81"/>
            <rFont val="Tahoma"/>
            <family val="2"/>
          </rPr>
          <t>Typing a lower case letter 'a' in these boxes will show as a tick</t>
        </r>
      </text>
    </comment>
    <comment ref="J32" authorId="0" shapeId="0" xr:uid="{888E162E-D818-4148-AD41-B7C7A16B8B7A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33" authorId="0" shapeId="0" xr:uid="{EAD41740-FEA6-4D6C-88C5-A20057583853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36" authorId="0" shapeId="0" xr:uid="{D24FFC60-9B63-48F7-BDD3-9414F6E48C39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37" authorId="0" shapeId="0" xr:uid="{BDADFCEC-4813-4144-9A9F-29FB9EA4D971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38" authorId="0" shapeId="0" xr:uid="{920F8097-1BD6-4F19-9F4B-5F1C0D790F27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39" authorId="0" shapeId="0" xr:uid="{8C94B7B0-C2DF-4F77-9051-F2DDD7CC9B7A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</commentList>
</comments>
</file>

<file path=xl/sharedStrings.xml><?xml version="1.0" encoding="utf-8"?>
<sst xmlns="http://schemas.openxmlformats.org/spreadsheetml/2006/main" count="73" uniqueCount="67">
  <si>
    <r>
      <t>Uni</t>
    </r>
    <r>
      <rPr>
        <sz val="22"/>
        <rFont val="Helvetica 95 Black"/>
        <family val="2"/>
      </rPr>
      <t>S</t>
    </r>
  </si>
  <si>
    <t>Electronic Engineering U/G Teaching Labs Purchase Request Form - PR-001</t>
  </si>
  <si>
    <t xml:space="preserve"> University of Surrey</t>
  </si>
  <si>
    <t>Supplier</t>
  </si>
  <si>
    <t>Requester</t>
  </si>
  <si>
    <t>Special instructions</t>
  </si>
  <si>
    <t>Name:</t>
  </si>
  <si>
    <t>eg non-standard delivery address, locations for equipment</t>
  </si>
  <si>
    <t>Address:</t>
  </si>
  <si>
    <t>Phone:</t>
  </si>
  <si>
    <t>E-mail:</t>
  </si>
  <si>
    <t>Contact name:</t>
  </si>
  <si>
    <t>Date:</t>
  </si>
  <si>
    <t>Fax:</t>
  </si>
  <si>
    <t>Currency for order</t>
  </si>
  <si>
    <t>GBP</t>
  </si>
  <si>
    <t xml:space="preserve">NB: High value orders    </t>
  </si>
  <si>
    <t>For order value of £50,000 or more</t>
  </si>
  <si>
    <t>Yes/No</t>
  </si>
  <si>
    <t>if not sterling</t>
  </si>
  <si>
    <r>
      <t xml:space="preserve">have you contacted Procurement and Contracts? </t>
    </r>
    <r>
      <rPr>
        <b/>
        <sz val="8"/>
        <rFont val="Arial"/>
        <family val="2"/>
      </rPr>
      <t>Attach details.</t>
    </r>
  </si>
  <si>
    <t>Catalogue</t>
  </si>
  <si>
    <t>Description</t>
  </si>
  <si>
    <t>Equip-</t>
  </si>
  <si>
    <t>COSHH Y/N see note*</t>
  </si>
  <si>
    <t>Unit</t>
  </si>
  <si>
    <t>Unit cost</t>
  </si>
  <si>
    <t>Quantity</t>
  </si>
  <si>
    <t>Date</t>
  </si>
  <si>
    <t>number</t>
  </si>
  <si>
    <t>ment</t>
  </si>
  <si>
    <t>inc discount    exc VAT</t>
  </si>
  <si>
    <t>Line cost</t>
  </si>
  <si>
    <t>Cost code</t>
  </si>
  <si>
    <t>received</t>
  </si>
  <si>
    <t>Initial</t>
  </si>
  <si>
    <t>Y/N</t>
  </si>
  <si>
    <t>Carriage and packing</t>
  </si>
  <si>
    <t>Sub total       ex VAT</t>
  </si>
  <si>
    <r>
      <t>Framework agreement</t>
    </r>
    <r>
      <rPr>
        <sz val="10"/>
        <rFont val="Arial"/>
        <family val="2"/>
      </rPr>
      <t xml:space="preserve"> (tick one for all orders)</t>
    </r>
  </si>
  <si>
    <t>Authorisation</t>
  </si>
  <si>
    <t>Supplier used is a framework agreement supplier</t>
  </si>
  <si>
    <t>This supplier has a significantly better price than framework agreement supplier</t>
  </si>
  <si>
    <t>VAT if chargeable</t>
  </si>
  <si>
    <t>Budget holder signature:</t>
  </si>
  <si>
    <t>Framework agreement supplier could not meet delivery deadline</t>
  </si>
  <si>
    <t>There is no framework agreement supplier for these goods/services</t>
  </si>
  <si>
    <t>Grand total    inc VAT</t>
  </si>
  <si>
    <r>
      <t xml:space="preserve">For </t>
    </r>
    <r>
      <rPr>
        <b/>
        <sz val="10"/>
        <rFont val="Arial"/>
        <family val="2"/>
      </rPr>
      <t>orders over £5k attach three quotes</t>
    </r>
    <r>
      <rPr>
        <sz val="10"/>
        <rFont val="Arial"/>
        <family val="2"/>
      </rPr>
      <t xml:space="preserve"> or tick box below</t>
    </r>
  </si>
  <si>
    <t>Finance office use</t>
  </si>
  <si>
    <t>Supplier used is a framework agreement supplier so quotes not required</t>
  </si>
  <si>
    <t>*COSHH: If any of the goods</t>
  </si>
  <si>
    <t>OF Purchase requisition number</t>
  </si>
  <si>
    <t>Works, goods or services required only available from one source</t>
  </si>
  <si>
    <t>ordered are Substances</t>
  </si>
  <si>
    <t>For standardisation or compatability it is necessary to purchase from a single source</t>
  </si>
  <si>
    <t>Hazardous to Health then</t>
  </si>
  <si>
    <t>OF Purchase order number/</t>
  </si>
  <si>
    <t>Unavoidable urgency precluded competitive quotations or tenders being sought</t>
  </si>
  <si>
    <t>attach risk assessment form</t>
  </si>
  <si>
    <t>Purchasing card reference number</t>
  </si>
  <si>
    <t>PR-001 04/03</t>
  </si>
  <si>
    <t>Amazon Business</t>
  </si>
  <si>
    <t>Caleb Ram</t>
  </si>
  <si>
    <t>07490956133</t>
  </si>
  <si>
    <t>cr00989@surrey.ac.uk</t>
  </si>
  <si>
    <t>Monday 17th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</si>
</sst>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;;@"/>
    <numFmt numFmtId="165" formatCode="mmmm\ d\,\ yyyy"/>
  </numFmts>
  <fonts count="20">
    <font>
      <sz val="10"/>
      <name val="Arial"/>
    </font>
    <font>
      <sz val="22"/>
      <name val="Helvetica 35 Thin"/>
      <family val="2"/>
    </font>
    <font>
      <sz val="22"/>
      <name val="Helvetica 95 Black"/>
      <family val="2"/>
    </font>
    <font>
      <sz val="9"/>
      <name val="Helvetica 45 Light"/>
      <family val="2"/>
    </font>
    <font>
      <sz val="11"/>
      <name val="Helvetica 95 Black"/>
      <family val="2"/>
    </font>
    <font>
      <sz val="14"/>
      <name val="Helvetica 95 Black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color indexed="81"/>
      <name val="Tahoma"/>
      <family val="2"/>
    </font>
    <font>
      <sz val="10"/>
      <name val="Webdings"/>
      <family val="1"/>
    </font>
    <font>
      <i/>
      <sz val="10"/>
      <color indexed="23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5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19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8" fillId="2" borderId="2" xfId="0" applyFont="1" applyFill="1" applyBorder="1"/>
    <xf numFmtId="0" fontId="0" fillId="2" borderId="3" xfId="0" applyFill="1" applyBorder="1"/>
    <xf numFmtId="0" fontId="7" fillId="0" borderId="0" xfId="0" applyFont="1" applyAlignment="1">
      <alignment horizontal="right"/>
    </xf>
    <xf numFmtId="0" fontId="8" fillId="2" borderId="9" xfId="0" applyFont="1" applyFill="1" applyBorder="1"/>
    <xf numFmtId="0" fontId="0" fillId="2" borderId="1" xfId="0" applyFill="1" applyBorder="1"/>
    <xf numFmtId="0" fontId="6" fillId="0" borderId="0" xfId="0" applyFont="1" applyAlignment="1">
      <alignment horizontal="right"/>
    </xf>
    <xf numFmtId="0" fontId="6" fillId="0" borderId="0" xfId="0" applyFont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2" borderId="0" xfId="0" applyFont="1" applyFill="1" applyAlignment="1">
      <alignment horizontal="center"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0" fillId="0" borderId="1" xfId="0" applyBorder="1" applyProtection="1">
      <protection locked="0"/>
    </xf>
    <xf numFmtId="0" fontId="0" fillId="0" borderId="17" xfId="0" applyBorder="1" applyProtection="1"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6" fillId="0" borderId="9" xfId="0" applyFont="1" applyBorder="1"/>
    <xf numFmtId="0" fontId="8" fillId="0" borderId="7" xfId="0" applyFont="1" applyBorder="1"/>
    <xf numFmtId="0" fontId="13" fillId="0" borderId="24" xfId="0" applyFont="1" applyBorder="1" applyAlignment="1" applyProtection="1">
      <alignment horizontal="center" vertical="center"/>
      <protection locked="0"/>
    </xf>
    <xf numFmtId="4" fontId="13" fillId="0" borderId="24" xfId="0" applyNumberFormat="1" applyFont="1" applyBorder="1" applyAlignment="1" applyProtection="1">
      <alignment vertical="center"/>
      <protection locked="0"/>
    </xf>
    <xf numFmtId="0" fontId="13" fillId="0" borderId="25" xfId="0" applyFont="1" applyBorder="1" applyProtection="1">
      <protection locked="0"/>
    </xf>
    <xf numFmtId="0" fontId="13" fillId="0" borderId="24" xfId="0" applyFont="1" applyBorder="1"/>
    <xf numFmtId="0" fontId="13" fillId="2" borderId="26" xfId="0" applyFont="1" applyFill="1" applyBorder="1" applyAlignment="1">
      <alignment vertical="center"/>
    </xf>
    <xf numFmtId="0" fontId="13" fillId="2" borderId="27" xfId="0" applyFont="1" applyFill="1" applyBorder="1" applyAlignment="1">
      <alignment vertical="center"/>
    </xf>
    <xf numFmtId="4" fontId="13" fillId="0" borderId="28" xfId="0" applyNumberFormat="1" applyFont="1" applyBorder="1" applyAlignment="1" applyProtection="1">
      <alignment vertical="center"/>
      <protection locked="0"/>
    </xf>
    <xf numFmtId="0" fontId="13" fillId="0" borderId="27" xfId="0" applyFont="1" applyBorder="1"/>
    <xf numFmtId="0" fontId="13" fillId="0" borderId="26" xfId="0" applyFont="1" applyBorder="1"/>
    <xf numFmtId="0" fontId="13" fillId="0" borderId="25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2" borderId="2" xfId="0" applyFill="1" applyBorder="1"/>
    <xf numFmtId="0" fontId="0" fillId="2" borderId="29" xfId="0" applyFill="1" applyBorder="1"/>
    <xf numFmtId="0" fontId="8" fillId="0" borderId="0" xfId="0" applyFont="1"/>
    <xf numFmtId="0" fontId="0" fillId="0" borderId="0" xfId="0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2" borderId="31" xfId="0" applyFont="1" applyFill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0" fillId="0" borderId="33" xfId="0" applyBorder="1"/>
    <xf numFmtId="0" fontId="7" fillId="0" borderId="0" xfId="0" applyFont="1"/>
    <xf numFmtId="0" fontId="0" fillId="0" borderId="3" xfId="0" applyBorder="1"/>
    <xf numFmtId="0" fontId="0" fillId="0" borderId="29" xfId="0" applyBorder="1"/>
    <xf numFmtId="0" fontId="6" fillId="3" borderId="2" xfId="0" applyFont="1" applyFill="1" applyBorder="1"/>
    <xf numFmtId="0" fontId="0" fillId="3" borderId="3" xfId="0" applyFill="1" applyBorder="1"/>
    <xf numFmtId="0" fontId="0" fillId="3" borderId="29" xfId="0" applyFill="1" applyBorder="1"/>
    <xf numFmtId="0" fontId="6" fillId="3" borderId="7" xfId="0" applyFont="1" applyFill="1" applyBorder="1"/>
    <xf numFmtId="0" fontId="0" fillId="3" borderId="0" xfId="0" applyFill="1"/>
    <xf numFmtId="0" fontId="0" fillId="3" borderId="8" xfId="0" applyFill="1" applyBorder="1"/>
    <xf numFmtId="0" fontId="6" fillId="3" borderId="9" xfId="0" applyFont="1" applyFill="1" applyBorder="1"/>
    <xf numFmtId="0" fontId="0" fillId="3" borderId="1" xfId="0" applyFill="1" applyBorder="1"/>
    <xf numFmtId="0" fontId="0" fillId="3" borderId="17" xfId="0" applyFill="1" applyBorder="1"/>
    <xf numFmtId="0" fontId="7" fillId="3" borderId="0" xfId="0" applyFont="1" applyFill="1"/>
    <xf numFmtId="4" fontId="12" fillId="0" borderId="30" xfId="0" applyNumberFormat="1" applyFont="1" applyBorder="1" applyAlignment="1" applyProtection="1">
      <alignment vertical="center"/>
      <protection locked="0"/>
    </xf>
    <xf numFmtId="4" fontId="13" fillId="0" borderId="34" xfId="0" applyNumberFormat="1" applyFont="1" applyBorder="1" applyAlignment="1">
      <alignment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49" fontId="13" fillId="0" borderId="38" xfId="0" applyNumberFormat="1" applyFont="1" applyBorder="1" applyAlignment="1">
      <alignment vertical="center"/>
    </xf>
    <xf numFmtId="49" fontId="13" fillId="0" borderId="39" xfId="0" applyNumberFormat="1" applyFont="1" applyBorder="1" applyAlignment="1" applyProtection="1">
      <alignment vertical="center"/>
      <protection locked="0"/>
    </xf>
    <xf numFmtId="49" fontId="13" fillId="0" borderId="40" xfId="0" applyNumberFormat="1" applyFont="1" applyBorder="1" applyAlignment="1" applyProtection="1">
      <alignment vertical="center"/>
      <protection locked="0"/>
    </xf>
    <xf numFmtId="0" fontId="8" fillId="0" borderId="29" xfId="0" applyFont="1" applyBorder="1" applyProtection="1">
      <protection locked="0"/>
    </xf>
    <xf numFmtId="3" fontId="13" fillId="0" borderId="25" xfId="0" applyNumberFormat="1" applyFont="1" applyBorder="1" applyAlignment="1" applyProtection="1">
      <alignment horizontal="center" vertical="center"/>
      <protection locked="0"/>
    </xf>
    <xf numFmtId="164" fontId="13" fillId="0" borderId="42" xfId="0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0" fontId="13" fillId="0" borderId="42" xfId="0" applyFont="1" applyBorder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8" fillId="0" borderId="4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29" xfId="0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7" xfId="0" applyBorder="1" applyAlignment="1" applyProtection="1">
      <alignment wrapText="1"/>
      <protection locked="0"/>
    </xf>
    <xf numFmtId="0" fontId="13" fillId="0" borderId="30" xfId="0" applyFont="1" applyBorder="1" applyAlignment="1" applyProtection="1">
      <alignment vertical="center"/>
      <protection locked="0"/>
    </xf>
    <xf numFmtId="0" fontId="13" fillId="0" borderId="44" xfId="0" applyFont="1" applyBorder="1" applyAlignment="1" applyProtection="1">
      <alignment vertical="center"/>
      <protection locked="0"/>
    </xf>
    <xf numFmtId="0" fontId="13" fillId="0" borderId="31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0" fillId="0" borderId="29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49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4" xfId="0" applyBorder="1" applyAlignment="1">
      <alignment vertical="center" wrapText="1"/>
    </xf>
    <xf numFmtId="164" fontId="0" fillId="0" borderId="2" xfId="0" applyNumberFormat="1" applyBorder="1" applyAlignment="1">
      <alignment vertical="center"/>
    </xf>
    <xf numFmtId="0" fontId="0" fillId="0" borderId="45" xfId="0" applyBorder="1"/>
    <xf numFmtId="0" fontId="0" fillId="0" borderId="9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164" fontId="13" fillId="0" borderId="52" xfId="0" applyNumberFormat="1" applyFont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7" xfId="0" applyBorder="1"/>
    <xf numFmtId="0" fontId="0" fillId="0" borderId="16" xfId="0" applyBorder="1"/>
    <xf numFmtId="0" fontId="0" fillId="0" borderId="30" xfId="0" applyBorder="1"/>
    <xf numFmtId="0" fontId="16" fillId="0" borderId="42" xfId="1" applyBorder="1" applyAlignment="1" applyProtection="1">
      <alignment vertical="center"/>
      <protection locked="0"/>
    </xf>
    <xf numFmtId="165" fontId="0" fillId="0" borderId="1" xfId="0" applyNumberFormat="1" applyBorder="1" applyAlignment="1" applyProtection="1">
      <alignment horizontal="left" vertical="center"/>
      <protection locked="0"/>
    </xf>
    <xf numFmtId="165" fontId="0" fillId="0" borderId="17" xfId="0" applyNumberFormat="1" applyBorder="1" applyAlignment="1" applyProtection="1">
      <alignment horizontal="left" vertical="center"/>
      <protection locked="0"/>
    </xf>
    <xf numFmtId="0" fontId="16" fillId="0" borderId="0" xfId="1" applyBorder="1" applyAlignment="1" applyProtection="1"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6" fillId="2" borderId="15" xfId="0" applyFont="1" applyFill="1" applyBorder="1" applyAlignment="1">
      <alignment horizontal="center" wrapText="1"/>
    </xf>
    <xf numFmtId="0" fontId="6" fillId="2" borderId="43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3" fillId="0" borderId="41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8" fillId="0" borderId="3" xfId="0" applyFont="1" applyBorder="1" applyAlignment="1" applyProtection="1">
      <alignment horizontal="left" vertical="top"/>
      <protection locked="0"/>
    </xf>
    <xf numFmtId="0" fontId="0" fillId="0" borderId="3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6" fillId="0" borderId="41" xfId="1" applyBorder="1" applyAlignment="1" applyProtection="1">
      <alignment vertical="center"/>
    </xf>
    <xf numFmtId="0" fontId="0" fillId="0" borderId="35" xfId="0" applyBorder="1" applyAlignment="1">
      <alignment vertical="center"/>
    </xf>
    <xf numFmtId="4" fontId="13" fillId="0" borderId="41" xfId="0" applyNumberFormat="1" applyFont="1" applyBorder="1" applyAlignment="1">
      <alignment vertical="center"/>
    </xf>
    <xf numFmtId="0" fontId="0" fillId="0" borderId="34" xfId="0" applyBorder="1" applyAlignment="1">
      <alignment vertical="center"/>
    </xf>
    <xf numFmtId="0" fontId="17" fillId="0" borderId="0" xfId="0" applyFont="1" applyAlignment="1" applyProtection="1">
      <alignment horizontal="left"/>
      <protection locked="0"/>
    </xf>
    <xf numFmtId="0" fontId="8" fillId="0" borderId="7" xfId="0" applyFon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3" borderId="55" xfId="0" applyFill="1" applyBorder="1" applyAlignment="1" applyProtection="1">
      <alignment horizontal="center" vertical="center"/>
      <protection locked="0"/>
    </xf>
    <xf numFmtId="0" fontId="0" fillId="3" borderId="43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vertical="center" wrapText="1"/>
    </xf>
    <xf numFmtId="0" fontId="14" fillId="0" borderId="43" xfId="0" applyFont="1" applyBorder="1" applyAlignment="1">
      <alignment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7" xfId="0" applyBorder="1" applyProtection="1">
      <protection locked="0"/>
    </xf>
    <xf numFmtId="0" fontId="8" fillId="0" borderId="0" xfId="0" applyFont="1" applyAlignment="1" applyProtection="1">
      <alignment vertical="top"/>
      <protection locked="0"/>
    </xf>
    <xf numFmtId="49" fontId="8" fillId="0" borderId="0" xfId="0" applyNumberFormat="1" applyFont="1" applyProtection="1">
      <protection locked="0"/>
    </xf>
    <xf numFmtId="0" fontId="16" fillId="0" borderId="0" xfId="1" applyAlignment="1" applyProtection="1">
      <protection locked="0"/>
    </xf>
    <xf numFmtId="0" fontId="8" fillId="0" borderId="1" xfId="0" applyFont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cr00989@surrey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0E18-DE5B-40B2-95E5-06A0FC5156D2}">
  <sheetPr>
    <pageSetUpPr fitToPage="1"/>
  </sheetPr>
  <dimension ref="A1:S40"/>
  <sheetViews>
    <sheetView showZeros="0" tabSelected="1" zoomScale="125" workbookViewId="0">
      <selection activeCell="B18" sqref="B18"/>
    </sheetView>
  </sheetViews>
  <sheetFormatPr baseColWidth="10" defaultColWidth="9.1640625" defaultRowHeight="13"/>
  <cols>
    <col min="1" max="1" width="5.83203125" customWidth="1"/>
    <col min="2" max="2" width="11.1640625" customWidth="1"/>
    <col min="3" max="3" width="3.6640625" customWidth="1"/>
    <col min="4" max="4" width="34.1640625" customWidth="1"/>
    <col min="5" max="5" width="1.1640625" customWidth="1"/>
    <col min="6" max="6" width="6" customWidth="1"/>
    <col min="7" max="7" width="24.5" bestFit="1" customWidth="1"/>
    <col min="8" max="8" width="6" customWidth="1"/>
    <col min="9" max="9" width="1.1640625" customWidth="1"/>
    <col min="10" max="10" width="4.83203125" customWidth="1"/>
    <col min="11" max="11" width="1.1640625" customWidth="1"/>
    <col min="12" max="12" width="10" customWidth="1"/>
    <col min="13" max="13" width="1.1640625" customWidth="1"/>
    <col min="14" max="14" width="9.5" bestFit="1" customWidth="1"/>
    <col min="15" max="15" width="1.1640625" customWidth="1"/>
    <col min="16" max="16" width="24.5" customWidth="1"/>
    <col min="17" max="19" width="7.33203125" customWidth="1"/>
  </cols>
  <sheetData>
    <row r="1" spans="1:19" s="2" customFormat="1" ht="24" customHeight="1">
      <c r="A1" s="1" t="s">
        <v>0</v>
      </c>
      <c r="Q1" s="3"/>
      <c r="R1" s="3"/>
      <c r="S1" s="4" t="s">
        <v>1</v>
      </c>
    </row>
    <row r="2" spans="1:19" s="5" customFormat="1" ht="15.75" customHeight="1">
      <c r="B2" s="6" t="s">
        <v>2</v>
      </c>
      <c r="C2" s="7"/>
      <c r="D2" s="7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</row>
    <row r="3" spans="1:19" ht="12.75" customHeight="1"/>
    <row r="4" spans="1:19">
      <c r="B4" s="10" t="s">
        <v>3</v>
      </c>
      <c r="C4" s="11"/>
      <c r="D4" s="12"/>
      <c r="F4" s="10" t="s">
        <v>4</v>
      </c>
      <c r="G4" s="11"/>
      <c r="H4" s="11"/>
      <c r="I4" s="11"/>
      <c r="J4" s="11"/>
      <c r="K4" s="11"/>
      <c r="L4" s="12"/>
      <c r="N4" s="10" t="s">
        <v>5</v>
      </c>
      <c r="O4" s="11"/>
      <c r="P4" s="11"/>
      <c r="Q4" s="11"/>
      <c r="R4" s="11"/>
      <c r="S4" s="12"/>
    </row>
    <row r="5" spans="1:19">
      <c r="B5" s="13" t="s">
        <v>6</v>
      </c>
      <c r="D5" s="96" t="s">
        <v>62</v>
      </c>
      <c r="F5" s="13" t="s">
        <v>6</v>
      </c>
      <c r="G5" s="191" t="s">
        <v>63</v>
      </c>
      <c r="H5" s="154"/>
      <c r="I5" s="155"/>
      <c r="J5" s="155"/>
      <c r="K5" s="155"/>
      <c r="L5" s="156"/>
      <c r="N5" s="50" t="s">
        <v>7</v>
      </c>
      <c r="S5" s="15"/>
    </row>
    <row r="6" spans="1:19">
      <c r="B6" s="13" t="s">
        <v>8</v>
      </c>
      <c r="D6" s="67"/>
      <c r="F6" s="13"/>
      <c r="G6" s="66"/>
      <c r="H6" s="157"/>
      <c r="I6" s="157"/>
      <c r="J6" s="157"/>
      <c r="K6" s="157"/>
      <c r="L6" s="158"/>
      <c r="N6" s="164"/>
      <c r="O6" s="165"/>
      <c r="P6" s="165"/>
      <c r="Q6" s="165"/>
      <c r="R6" s="165"/>
      <c r="S6" s="166"/>
    </row>
    <row r="7" spans="1:19" ht="16">
      <c r="B7" s="13"/>
      <c r="D7" s="67"/>
      <c r="F7" s="13"/>
      <c r="G7" s="66"/>
      <c r="H7" s="163"/>
      <c r="I7" s="157"/>
      <c r="J7" s="157"/>
      <c r="K7" s="157"/>
      <c r="L7" s="158"/>
      <c r="N7" s="167"/>
      <c r="O7" s="165"/>
      <c r="P7" s="165"/>
      <c r="Q7" s="165"/>
      <c r="R7" s="165"/>
      <c r="S7" s="166"/>
    </row>
    <row r="8" spans="1:19" ht="12.75" customHeight="1">
      <c r="B8" s="13"/>
      <c r="D8" s="67"/>
      <c r="F8" s="13" t="s">
        <v>9</v>
      </c>
      <c r="G8" s="192" t="s">
        <v>64</v>
      </c>
      <c r="H8" s="143"/>
      <c r="I8" s="143"/>
      <c r="J8" s="143"/>
      <c r="K8" s="143"/>
      <c r="L8" s="144"/>
      <c r="N8" s="167"/>
      <c r="O8" s="165"/>
      <c r="P8" s="165"/>
      <c r="Q8" s="165"/>
      <c r="R8" s="165"/>
      <c r="S8" s="166"/>
    </row>
    <row r="9" spans="1:19">
      <c r="B9" s="13"/>
      <c r="D9" s="67"/>
      <c r="F9" s="13" t="s">
        <v>10</v>
      </c>
      <c r="G9" s="193" t="s">
        <v>65</v>
      </c>
      <c r="H9" s="140"/>
      <c r="I9" s="141"/>
      <c r="J9" s="141"/>
      <c r="K9" s="141"/>
      <c r="L9" s="142"/>
      <c r="N9" s="167"/>
      <c r="O9" s="165"/>
      <c r="P9" s="165"/>
      <c r="Q9" s="165"/>
      <c r="R9" s="165"/>
      <c r="S9" s="166"/>
    </row>
    <row r="10" spans="1:19">
      <c r="B10" s="13" t="s">
        <v>11</v>
      </c>
      <c r="D10" s="62"/>
      <c r="F10" s="16" t="s">
        <v>12</v>
      </c>
      <c r="G10" s="194" t="s">
        <v>66</v>
      </c>
      <c r="H10" s="138"/>
      <c r="I10" s="138"/>
      <c r="J10" s="138"/>
      <c r="K10" s="138"/>
      <c r="L10" s="139"/>
      <c r="N10" s="168"/>
      <c r="O10" s="169"/>
      <c r="P10" s="169"/>
      <c r="Q10" s="169"/>
      <c r="R10" s="169"/>
      <c r="S10" s="170"/>
    </row>
    <row r="11" spans="1:19">
      <c r="B11" s="13" t="s">
        <v>9</v>
      </c>
      <c r="D11" s="62"/>
      <c r="F11" s="61"/>
    </row>
    <row r="12" spans="1:19">
      <c r="B12" s="13" t="s">
        <v>13</v>
      </c>
      <c r="D12" s="62"/>
      <c r="F12" s="18" t="s">
        <v>14</v>
      </c>
      <c r="G12" s="19"/>
      <c r="H12" s="19"/>
      <c r="I12" s="185" t="s">
        <v>15</v>
      </c>
      <c r="J12" s="186"/>
      <c r="K12" s="186"/>
      <c r="L12" s="187"/>
      <c r="N12" s="72" t="s">
        <v>16</v>
      </c>
      <c r="O12" s="20"/>
      <c r="R12" s="23" t="s">
        <v>17</v>
      </c>
      <c r="S12" s="171" t="s">
        <v>18</v>
      </c>
    </row>
    <row r="13" spans="1:19">
      <c r="B13" s="16" t="s">
        <v>10</v>
      </c>
      <c r="C13" s="17"/>
      <c r="D13" s="42"/>
      <c r="F13" s="21" t="s">
        <v>19</v>
      </c>
      <c r="G13" s="22"/>
      <c r="H13" s="22"/>
      <c r="I13" s="188"/>
      <c r="J13" s="189"/>
      <c r="K13" s="189"/>
      <c r="L13" s="190"/>
      <c r="R13" s="23" t="s">
        <v>20</v>
      </c>
      <c r="S13" s="172"/>
    </row>
    <row r="14" spans="1:19" ht="8" customHeight="1" thickBot="1">
      <c r="C14" s="71"/>
      <c r="D14" s="71"/>
      <c r="E14" s="71"/>
      <c r="G14" s="24"/>
    </row>
    <row r="15" spans="1:19" ht="12.75" customHeight="1">
      <c r="B15" s="46" t="s">
        <v>21</v>
      </c>
      <c r="C15" s="176" t="s">
        <v>22</v>
      </c>
      <c r="D15" s="177"/>
      <c r="E15" s="148"/>
      <c r="F15" s="27" t="s">
        <v>23</v>
      </c>
      <c r="G15" s="182" t="s">
        <v>24</v>
      </c>
      <c r="H15" s="173" t="s">
        <v>25</v>
      </c>
      <c r="I15" s="25"/>
      <c r="J15" s="27"/>
      <c r="K15" s="26"/>
      <c r="L15" s="27" t="s">
        <v>26</v>
      </c>
      <c r="M15" s="25"/>
      <c r="N15" s="26"/>
      <c r="O15" s="27"/>
      <c r="P15" s="27"/>
      <c r="Q15" s="25" t="s">
        <v>27</v>
      </c>
      <c r="R15" s="28"/>
      <c r="S15" s="29" t="s">
        <v>28</v>
      </c>
    </row>
    <row r="16" spans="1:19" ht="12.75" customHeight="1">
      <c r="B16" s="47" t="s">
        <v>29</v>
      </c>
      <c r="C16" s="178"/>
      <c r="D16" s="177"/>
      <c r="E16" s="148"/>
      <c r="F16" s="32" t="s">
        <v>30</v>
      </c>
      <c r="G16" s="183"/>
      <c r="H16" s="174"/>
      <c r="I16" s="33"/>
      <c r="J16" s="32" t="s">
        <v>27</v>
      </c>
      <c r="K16" s="34"/>
      <c r="L16" s="145" t="s">
        <v>31</v>
      </c>
      <c r="M16" s="147" t="s">
        <v>32</v>
      </c>
      <c r="N16" s="148"/>
      <c r="O16" s="150" t="s">
        <v>33</v>
      </c>
      <c r="P16" s="151"/>
      <c r="Q16" s="33" t="s">
        <v>34</v>
      </c>
      <c r="R16" s="36" t="s">
        <v>35</v>
      </c>
      <c r="S16" s="37" t="s">
        <v>34</v>
      </c>
    </row>
    <row r="17" spans="2:19" ht="12.75" customHeight="1">
      <c r="B17" s="48"/>
      <c r="C17" s="179"/>
      <c r="D17" s="180"/>
      <c r="E17" s="181"/>
      <c r="F17" s="32" t="s">
        <v>36</v>
      </c>
      <c r="G17" s="184"/>
      <c r="H17" s="175"/>
      <c r="I17" s="33"/>
      <c r="J17" s="32"/>
      <c r="K17" s="34"/>
      <c r="L17" s="146"/>
      <c r="M17" s="30"/>
      <c r="N17" s="31"/>
      <c r="O17" s="35"/>
      <c r="P17" s="32"/>
      <c r="Q17" s="38"/>
      <c r="R17" s="39"/>
      <c r="S17" s="37"/>
    </row>
    <row r="18" spans="2:19" ht="20" customHeight="1">
      <c r="B18" s="93"/>
      <c r="C18" s="159"/>
      <c r="D18" s="160"/>
      <c r="E18" s="86"/>
      <c r="F18" s="87"/>
      <c r="G18" s="88"/>
      <c r="H18" s="89"/>
      <c r="I18" s="149"/>
      <c r="J18" s="149"/>
      <c r="K18" s="149"/>
      <c r="L18" s="52"/>
      <c r="M18" s="161">
        <f>I18*L18</f>
        <v>0</v>
      </c>
      <c r="N18" s="162"/>
      <c r="O18" s="152"/>
      <c r="P18" s="153"/>
      <c r="Q18" s="90"/>
      <c r="R18" s="91"/>
      <c r="S18" s="92"/>
    </row>
    <row r="19" spans="2:19" ht="20" customHeight="1">
      <c r="B19" s="94"/>
      <c r="C19" s="137"/>
      <c r="D19" s="101"/>
      <c r="E19" s="85"/>
      <c r="F19" s="68"/>
      <c r="G19" s="60"/>
      <c r="H19" s="51"/>
      <c r="I19" s="97"/>
      <c r="J19" s="97"/>
      <c r="K19" s="97"/>
      <c r="L19" s="52"/>
      <c r="M19" s="98">
        <f t="shared" ref="M19:M26" si="0">I19*L19</f>
        <v>0</v>
      </c>
      <c r="N19" s="99"/>
      <c r="O19" s="100"/>
      <c r="P19" s="110"/>
      <c r="Q19" s="53"/>
      <c r="R19" s="54"/>
      <c r="S19" s="44"/>
    </row>
    <row r="20" spans="2:19" ht="20" customHeight="1">
      <c r="B20" s="94"/>
      <c r="C20" s="137"/>
      <c r="D20" s="101"/>
      <c r="E20" s="85"/>
      <c r="F20" s="68"/>
      <c r="G20" s="60"/>
      <c r="H20" s="51"/>
      <c r="I20" s="97"/>
      <c r="J20" s="97"/>
      <c r="K20" s="97"/>
      <c r="L20" s="52"/>
      <c r="M20" s="98">
        <f t="shared" si="0"/>
        <v>0</v>
      </c>
      <c r="N20" s="99"/>
      <c r="O20" s="100"/>
      <c r="P20" s="110"/>
      <c r="Q20" s="53"/>
      <c r="R20" s="54"/>
      <c r="S20" s="44"/>
    </row>
    <row r="21" spans="2:19" ht="20" customHeight="1">
      <c r="B21" s="94"/>
      <c r="C21" s="137"/>
      <c r="D21" s="101"/>
      <c r="E21" s="85"/>
      <c r="F21" s="68"/>
      <c r="G21" s="60"/>
      <c r="H21" s="51"/>
      <c r="I21" s="97"/>
      <c r="J21" s="97"/>
      <c r="K21" s="97"/>
      <c r="L21" s="52"/>
      <c r="M21" s="98">
        <f t="shared" si="0"/>
        <v>0</v>
      </c>
      <c r="N21" s="136"/>
      <c r="O21" s="100"/>
      <c r="P21" s="110"/>
      <c r="Q21" s="53"/>
      <c r="R21" s="54"/>
      <c r="S21" s="44"/>
    </row>
    <row r="22" spans="2:19" ht="20" customHeight="1">
      <c r="B22" s="94"/>
      <c r="C22" s="137"/>
      <c r="D22" s="101"/>
      <c r="E22" s="85"/>
      <c r="F22" s="68"/>
      <c r="G22" s="60"/>
      <c r="H22" s="51"/>
      <c r="I22" s="97"/>
      <c r="J22" s="97"/>
      <c r="K22" s="97"/>
      <c r="L22" s="52"/>
      <c r="M22" s="98">
        <f t="shared" si="0"/>
        <v>0</v>
      </c>
      <c r="N22" s="99"/>
      <c r="O22" s="100"/>
      <c r="P22" s="110"/>
      <c r="Q22" s="53"/>
      <c r="R22" s="54"/>
      <c r="S22" s="44"/>
    </row>
    <row r="23" spans="2:19" ht="20" customHeight="1">
      <c r="B23" s="94"/>
      <c r="C23" s="100"/>
      <c r="D23" s="101"/>
      <c r="E23" s="85"/>
      <c r="F23" s="68"/>
      <c r="G23" s="60"/>
      <c r="H23" s="51"/>
      <c r="I23" s="97"/>
      <c r="J23" s="97"/>
      <c r="K23" s="97"/>
      <c r="L23" s="52"/>
      <c r="M23" s="98">
        <f>I23*L23</f>
        <v>0</v>
      </c>
      <c r="N23" s="99"/>
      <c r="O23" s="100"/>
      <c r="P23" s="110"/>
      <c r="Q23" s="53"/>
      <c r="R23" s="54"/>
      <c r="S23" s="44"/>
    </row>
    <row r="24" spans="2:19" ht="20" customHeight="1">
      <c r="B24" s="94"/>
      <c r="C24" s="100"/>
      <c r="D24" s="101"/>
      <c r="E24" s="85"/>
      <c r="F24" s="68"/>
      <c r="G24" s="60"/>
      <c r="H24" s="51"/>
      <c r="I24" s="97"/>
      <c r="J24" s="97"/>
      <c r="K24" s="97"/>
      <c r="L24" s="52"/>
      <c r="M24" s="98">
        <f t="shared" si="0"/>
        <v>0</v>
      </c>
      <c r="N24" s="99"/>
      <c r="O24" s="100"/>
      <c r="P24" s="110"/>
      <c r="Q24" s="53"/>
      <c r="R24" s="54"/>
      <c r="S24" s="44"/>
    </row>
    <row r="25" spans="2:19" ht="20" customHeight="1">
      <c r="B25" s="94"/>
      <c r="C25" s="100"/>
      <c r="D25" s="101"/>
      <c r="E25" s="85"/>
      <c r="F25" s="68"/>
      <c r="G25" s="60"/>
      <c r="H25" s="51"/>
      <c r="I25" s="97"/>
      <c r="J25" s="97"/>
      <c r="K25" s="97"/>
      <c r="L25" s="52"/>
      <c r="M25" s="98">
        <f t="shared" si="0"/>
        <v>0</v>
      </c>
      <c r="N25" s="99"/>
      <c r="O25" s="100"/>
      <c r="P25" s="110"/>
      <c r="Q25" s="53"/>
      <c r="R25" s="54"/>
      <c r="S25" s="44"/>
    </row>
    <row r="26" spans="2:19" ht="20" customHeight="1">
      <c r="B26" s="94"/>
      <c r="C26" s="100"/>
      <c r="D26" s="101"/>
      <c r="E26" s="85"/>
      <c r="F26" s="68"/>
      <c r="G26" s="60"/>
      <c r="H26" s="51"/>
      <c r="I26" s="97"/>
      <c r="J26" s="97"/>
      <c r="K26" s="97"/>
      <c r="L26" s="52"/>
      <c r="M26" s="98">
        <f t="shared" si="0"/>
        <v>0</v>
      </c>
      <c r="N26" s="99"/>
      <c r="O26" s="100"/>
      <c r="P26" s="110"/>
      <c r="Q26" s="53"/>
      <c r="R26" s="54"/>
      <c r="S26" s="44"/>
    </row>
    <row r="27" spans="2:19" ht="20" customHeight="1" thickBot="1">
      <c r="B27" s="95"/>
      <c r="C27" s="102" t="s">
        <v>37</v>
      </c>
      <c r="D27" s="103"/>
      <c r="E27" s="70"/>
      <c r="F27" s="69"/>
      <c r="G27" s="56"/>
      <c r="H27" s="55"/>
      <c r="I27" s="56"/>
      <c r="J27" s="56"/>
      <c r="K27" s="56"/>
      <c r="L27" s="57"/>
      <c r="M27" s="132">
        <f>L27</f>
        <v>0</v>
      </c>
      <c r="N27" s="133"/>
      <c r="O27" s="111"/>
      <c r="P27" s="112"/>
      <c r="Q27" s="58"/>
      <c r="R27" s="59"/>
      <c r="S27" s="45"/>
    </row>
    <row r="28" spans="2:19" ht="8" customHeight="1">
      <c r="L28" s="121" t="s">
        <v>38</v>
      </c>
      <c r="M28" s="126">
        <f>SUM(M18:M27)</f>
        <v>0</v>
      </c>
      <c r="N28" s="127"/>
    </row>
    <row r="29" spans="2:19" ht="12.75" customHeight="1">
      <c r="B29" s="84" t="s">
        <v>39</v>
      </c>
      <c r="C29" s="84"/>
      <c r="D29" s="79"/>
      <c r="E29" s="79"/>
      <c r="L29" s="121"/>
      <c r="M29" s="134"/>
      <c r="N29" s="135"/>
      <c r="P29" s="10" t="s">
        <v>40</v>
      </c>
      <c r="Q29" s="11"/>
      <c r="R29" s="11"/>
      <c r="S29" s="12"/>
    </row>
    <row r="30" spans="2:19">
      <c r="B30" s="65" t="s">
        <v>41</v>
      </c>
      <c r="C30" s="24"/>
      <c r="J30" s="43"/>
      <c r="L30" s="122"/>
      <c r="M30" s="128"/>
      <c r="N30" s="129"/>
      <c r="P30" s="13"/>
      <c r="Q30" s="73"/>
      <c r="R30" s="73"/>
      <c r="S30" s="74"/>
    </row>
    <row r="31" spans="2:19">
      <c r="B31" s="65" t="s">
        <v>42</v>
      </c>
      <c r="C31" s="24"/>
      <c r="J31" s="43"/>
      <c r="L31" s="125" t="s">
        <v>43</v>
      </c>
      <c r="M31" s="126">
        <f>M28*0.2</f>
        <v>0</v>
      </c>
      <c r="N31" s="127"/>
      <c r="P31" s="13" t="s">
        <v>44</v>
      </c>
      <c r="S31" s="15"/>
    </row>
    <row r="32" spans="2:19">
      <c r="B32" s="65" t="s">
        <v>45</v>
      </c>
      <c r="C32" s="24"/>
      <c r="J32" s="43"/>
      <c r="L32" s="122"/>
      <c r="M32" s="128"/>
      <c r="N32" s="129"/>
      <c r="P32" s="13"/>
      <c r="S32" s="15"/>
    </row>
    <row r="33" spans="2:19">
      <c r="B33" s="65" t="s">
        <v>46</v>
      </c>
      <c r="C33" s="24"/>
      <c r="J33" s="43"/>
      <c r="L33" s="119" t="s">
        <v>47</v>
      </c>
      <c r="M33" s="126">
        <f>SUM(M28:M31)</f>
        <v>0</v>
      </c>
      <c r="N33" s="127"/>
      <c r="P33" s="16" t="s">
        <v>12</v>
      </c>
      <c r="Q33" s="41"/>
      <c r="R33" s="41"/>
      <c r="S33" s="42"/>
    </row>
    <row r="34" spans="2:19" ht="14" thickBot="1">
      <c r="L34" s="120"/>
      <c r="M34" s="130"/>
      <c r="N34" s="131"/>
    </row>
    <row r="35" spans="2:19">
      <c r="B35" s="79" t="s">
        <v>48</v>
      </c>
      <c r="C35" s="79"/>
      <c r="D35" s="79"/>
      <c r="E35" s="79"/>
      <c r="P35" s="63" t="s">
        <v>49</v>
      </c>
      <c r="Q35" s="19"/>
      <c r="R35" s="19"/>
      <c r="S35" s="64"/>
    </row>
    <row r="36" spans="2:19">
      <c r="B36" s="65" t="s">
        <v>50</v>
      </c>
      <c r="C36" s="24"/>
      <c r="J36" s="43"/>
      <c r="L36" s="75" t="s">
        <v>51</v>
      </c>
      <c r="M36" s="76"/>
      <c r="N36" s="77"/>
      <c r="P36" s="123" t="s">
        <v>52</v>
      </c>
      <c r="Q36" s="113"/>
      <c r="R36" s="114"/>
      <c r="S36" s="115"/>
    </row>
    <row r="37" spans="2:19">
      <c r="B37" s="65" t="s">
        <v>53</v>
      </c>
      <c r="C37" s="24"/>
      <c r="J37" s="43"/>
      <c r="L37" s="78" t="s">
        <v>54</v>
      </c>
      <c r="M37" s="79"/>
      <c r="N37" s="80"/>
      <c r="P37" s="124"/>
      <c r="Q37" s="116"/>
      <c r="R37" s="117"/>
      <c r="S37" s="118"/>
    </row>
    <row r="38" spans="2:19">
      <c r="B38" s="65" t="s">
        <v>55</v>
      </c>
      <c r="C38" s="24"/>
      <c r="J38" s="43"/>
      <c r="L38" s="78" t="s">
        <v>56</v>
      </c>
      <c r="M38" s="79"/>
      <c r="N38" s="80"/>
      <c r="P38" s="14" t="s">
        <v>57</v>
      </c>
      <c r="Q38" s="104"/>
      <c r="R38" s="105"/>
      <c r="S38" s="106"/>
    </row>
    <row r="39" spans="2:19">
      <c r="B39" s="65" t="s">
        <v>58</v>
      </c>
      <c r="C39" s="24"/>
      <c r="J39" s="43"/>
      <c r="L39" s="81" t="s">
        <v>59</v>
      </c>
      <c r="M39" s="82"/>
      <c r="N39" s="83"/>
      <c r="P39" s="49" t="s">
        <v>60</v>
      </c>
      <c r="Q39" s="107"/>
      <c r="R39" s="108"/>
      <c r="S39" s="109"/>
    </row>
    <row r="40" spans="2:19" ht="8.25" customHeight="1">
      <c r="S40" s="40" t="s">
        <v>61</v>
      </c>
    </row>
  </sheetData>
  <mergeCells count="62">
    <mergeCell ref="H5:L6"/>
    <mergeCell ref="C18:D18"/>
    <mergeCell ref="M18:N18"/>
    <mergeCell ref="H7:L7"/>
    <mergeCell ref="N6:S10"/>
    <mergeCell ref="S12:S13"/>
    <mergeCell ref="H15:H17"/>
    <mergeCell ref="C15:E17"/>
    <mergeCell ref="G15:G17"/>
    <mergeCell ref="I12:L13"/>
    <mergeCell ref="M16:N16"/>
    <mergeCell ref="I18:K18"/>
    <mergeCell ref="O16:P16"/>
    <mergeCell ref="O18:P18"/>
    <mergeCell ref="O20:P20"/>
    <mergeCell ref="M19:N19"/>
    <mergeCell ref="O19:P19"/>
    <mergeCell ref="H10:L10"/>
    <mergeCell ref="H9:L9"/>
    <mergeCell ref="H8:L8"/>
    <mergeCell ref="I23:K23"/>
    <mergeCell ref="L16:L17"/>
    <mergeCell ref="I22:K22"/>
    <mergeCell ref="C19:D19"/>
    <mergeCell ref="C20:D20"/>
    <mergeCell ref="C21:D21"/>
    <mergeCell ref="C22:D22"/>
    <mergeCell ref="I19:K19"/>
    <mergeCell ref="I20:K20"/>
    <mergeCell ref="I21:K21"/>
    <mergeCell ref="M21:N21"/>
    <mergeCell ref="M20:N20"/>
    <mergeCell ref="O25:P25"/>
    <mergeCell ref="O24:P24"/>
    <mergeCell ref="M24:N24"/>
    <mergeCell ref="O23:P23"/>
    <mergeCell ref="O21:P21"/>
    <mergeCell ref="O22:P22"/>
    <mergeCell ref="C26:D26"/>
    <mergeCell ref="C27:D27"/>
    <mergeCell ref="Q38:S39"/>
    <mergeCell ref="O26:P26"/>
    <mergeCell ref="O27:P27"/>
    <mergeCell ref="I26:K26"/>
    <mergeCell ref="Q36:S37"/>
    <mergeCell ref="L33:L34"/>
    <mergeCell ref="L28:L30"/>
    <mergeCell ref="P36:P37"/>
    <mergeCell ref="L31:L32"/>
    <mergeCell ref="M31:N32"/>
    <mergeCell ref="M33:N34"/>
    <mergeCell ref="M26:N26"/>
    <mergeCell ref="M27:N27"/>
    <mergeCell ref="M28:N30"/>
    <mergeCell ref="I24:K24"/>
    <mergeCell ref="I25:K25"/>
    <mergeCell ref="M22:N22"/>
    <mergeCell ref="M23:N23"/>
    <mergeCell ref="C24:D24"/>
    <mergeCell ref="C25:D25"/>
    <mergeCell ref="C23:D23"/>
    <mergeCell ref="M25:N25"/>
  </mergeCells>
  <phoneticPr fontId="19" type="noConversion"/>
  <hyperlinks>
    <hyperlink ref="G9" r:id="rId1" xr:uid="{B0D1C1E5-3A28-3B45-9676-5192BF1743DE}"/>
  </hyperlinks>
  <pageMargins left="0.15748031496062992" right="0.15748031496062992" top="0.15748031496062992" bottom="0.15748031496062992" header="0.51181102362204722" footer="0.51181102362204722"/>
  <pageSetup paperSize="9" scale="90" orientation="landscape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d3321b-64ee-42d5-ba95-583cdc2fb458">
      <Terms xmlns="http://schemas.microsoft.com/office/infopath/2007/PartnerControls"/>
    </lcf76f155ced4ddcb4097134ff3c332f>
    <TaxCatchAll xmlns="7fd4ab7d-0cc8-4d4c-a849-94c9d4705ac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131D6E258B024FAC9859696D6B7BB8" ma:contentTypeVersion="10" ma:contentTypeDescription="Create a new document." ma:contentTypeScope="" ma:versionID="fb26f50c9d87e39382e4cb66a484b956">
  <xsd:schema xmlns:xsd="http://www.w3.org/2001/XMLSchema" xmlns:xs="http://www.w3.org/2001/XMLSchema" xmlns:p="http://schemas.microsoft.com/office/2006/metadata/properties" xmlns:ns2="19d3321b-64ee-42d5-ba95-583cdc2fb458" xmlns:ns3="7fd4ab7d-0cc8-4d4c-a849-94c9d4705ac5" targetNamespace="http://schemas.microsoft.com/office/2006/metadata/properties" ma:root="true" ma:fieldsID="b85eda176ae43b44f207201ace7dd11f" ns2:_="" ns3:_="">
    <xsd:import namespace="19d3321b-64ee-42d5-ba95-583cdc2fb458"/>
    <xsd:import namespace="7fd4ab7d-0cc8-4d4c-a849-94c9d4705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3321b-64ee-42d5-ba95-583cdc2fb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4ab7d-0cc8-4d4c-a849-94c9d4705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2086fb-6007-43d1-a349-35640ed88f57}" ma:internalName="TaxCatchAll" ma:showField="CatchAllData" ma:web="7fd4ab7d-0cc8-4d4c-a849-94c9d4705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7481E1-6F26-4600-B453-635F79014D87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7fd4ab7d-0cc8-4d4c-a849-94c9d4705ac5"/>
    <ds:schemaRef ds:uri="19d3321b-64ee-42d5-ba95-583cdc2fb458"/>
  </ds:schemaRefs>
</ds:datastoreItem>
</file>

<file path=customXml/itemProps2.xml><?xml version="1.0" encoding="utf-8"?>
<ds:datastoreItem xmlns:ds="http://schemas.openxmlformats.org/officeDocument/2006/customXml" ds:itemID="{DA12B66B-33E3-468F-9F32-06CF71D90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3321b-64ee-42d5-ba95-583cdc2fb458"/>
    <ds:schemaRef ds:uri="7fd4ab7d-0cc8-4d4c-a849-94c9d4705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0412A5-C05A-473E-832B-0F0514DAFC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PR-001 form</vt:lpstr>
    </vt:vector>
  </TitlesOfParts>
  <Manager/>
  <Company>University of Surrey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profile_admin</dc:creator>
  <cp:keywords/>
  <dc:description/>
  <cp:lastModifiedBy>Ram, Caleb (UG - Comp Sci &amp; Elec Eng)</cp:lastModifiedBy>
  <cp:revision/>
  <cp:lastPrinted>2025-11-13T12:44:42Z</cp:lastPrinted>
  <dcterms:created xsi:type="dcterms:W3CDTF">2003-04-08T10:26:06Z</dcterms:created>
  <dcterms:modified xsi:type="dcterms:W3CDTF">2025-11-17T14:48:00Z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0x0101006A131D6E258B024FAC9859696D6B7BB8</vt:lpwstr>
  </property>
  <property fmtid="{D5CDD505-2E9C-101B-9397-08002B2CF9AE}" pid="3" name="MediaServiceImageTags">
    <vt:lpwstr/>
  </property>
</Properties>
</file>